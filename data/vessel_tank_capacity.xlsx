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visible" r:id="rId3"/>
  </sheets>
  <definedNames>
    <definedName function="false" hidden="true" localSheetId="1" name="_xlnm._FilterDatabase" vbProcedure="false">Sheet1!$A$1:$E$71</definedName>
    <definedName function="false" hidden="true" localSheetId="0" name="_xlnm._FilterDatabase" vbProcedure="false">Sheet2!$A$1:$E$79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<sst xmlns="http://schemas.openxmlformats.org/spreadsheetml/2006/main" count="311" uniqueCount="96">
  <si>
    <t xml:space="preserve">RANK</t>
  </si>
  <si>
    <t xml:space="preserve">FLEET </t>
  </si>
  <si>
    <t xml:space="preserve">Vessel</t>
  </si>
  <si>
    <t xml:space="preserve">MFO</t>
  </si>
  <si>
    <t xml:space="preserve">BIO</t>
  </si>
  <si>
    <t xml:space="preserve">D</t>
  </si>
  <si>
    <t xml:space="preserve">AKA</t>
  </si>
  <si>
    <t xml:space="preserve">G</t>
  </si>
  <si>
    <t xml:space="preserve">APE</t>
  </si>
  <si>
    <t xml:space="preserve">E</t>
  </si>
  <si>
    <t xml:space="preserve">ASG</t>
  </si>
  <si>
    <t xml:space="preserve">A</t>
  </si>
  <si>
    <t xml:space="preserve">ASJ</t>
  </si>
  <si>
    <t xml:space="preserve">ASN</t>
  </si>
  <si>
    <t xml:space="preserve">ASR</t>
  </si>
  <si>
    <t xml:space="preserve">K</t>
  </si>
  <si>
    <t xml:space="preserve">BAU</t>
  </si>
  <si>
    <t xml:space="preserve">BGI</t>
  </si>
  <si>
    <t xml:space="preserve">BKU</t>
  </si>
  <si>
    <t xml:space="preserve">BSA</t>
  </si>
  <si>
    <t xml:space="preserve">DER</t>
  </si>
  <si>
    <t xml:space="preserve">FOR</t>
  </si>
  <si>
    <t xml:space="preserve">C</t>
  </si>
  <si>
    <t xml:space="preserve">HAN</t>
  </si>
  <si>
    <t xml:space="preserve">HAP</t>
  </si>
  <si>
    <t xml:space="preserve">HAS</t>
  </si>
  <si>
    <t xml:space="preserve">HAY</t>
  </si>
  <si>
    <t xml:space="preserve">HJE</t>
  </si>
  <si>
    <t xml:space="preserve">B</t>
  </si>
  <si>
    <t xml:space="preserve">HSA</t>
  </si>
  <si>
    <t xml:space="preserve">H</t>
  </si>
  <si>
    <t xml:space="preserve">HSG</t>
  </si>
  <si>
    <t xml:space="preserve">HSJ</t>
  </si>
  <si>
    <t xml:space="preserve">J</t>
  </si>
  <si>
    <t xml:space="preserve">KLE</t>
  </si>
  <si>
    <t xml:space="preserve">ISI MANUAL</t>
  </si>
  <si>
    <t xml:space="preserve">LUZ</t>
  </si>
  <si>
    <t xml:space="preserve">M</t>
  </si>
  <si>
    <t xml:space="preserve">MAA</t>
  </si>
  <si>
    <t xml:space="preserve">MAG</t>
  </si>
  <si>
    <t xml:space="preserve">MAN</t>
  </si>
  <si>
    <t xml:space="preserve">-</t>
  </si>
  <si>
    <t xml:space="preserve">MAR</t>
  </si>
  <si>
    <t xml:space="preserve">MBU</t>
  </si>
  <si>
    <t xml:space="preserve">MDA</t>
  </si>
  <si>
    <t xml:space="preserve">MEN</t>
  </si>
  <si>
    <t xml:space="preserve">MHI</t>
  </si>
  <si>
    <t xml:space="preserve">MIA</t>
  </si>
  <si>
    <t xml:space="preserve">MPR</t>
  </si>
  <si>
    <t xml:space="preserve">MSM</t>
  </si>
  <si>
    <t xml:space="preserve">MTI</t>
  </si>
  <si>
    <t xml:space="preserve">MVI</t>
  </si>
  <si>
    <t xml:space="preserve">MWA</t>
  </si>
  <si>
    <t xml:space="preserve">MYA</t>
  </si>
  <si>
    <t xml:space="preserve">ODI</t>
  </si>
  <si>
    <t xml:space="preserve">OEM</t>
  </si>
  <si>
    <t xml:space="preserve">OGA</t>
  </si>
  <si>
    <t xml:space="preserve">OGO</t>
  </si>
  <si>
    <t xml:space="preserve">OJA</t>
  </si>
  <si>
    <t xml:space="preserve">OPA</t>
  </si>
  <si>
    <t xml:space="preserve">ORU</t>
  </si>
  <si>
    <t xml:space="preserve">OSA</t>
  </si>
  <si>
    <t xml:space="preserve">OSI</t>
  </si>
  <si>
    <t xml:space="preserve">PAH</t>
  </si>
  <si>
    <t xml:space="preserve">PBE</t>
  </si>
  <si>
    <t xml:space="preserve">PFA</t>
  </si>
  <si>
    <t xml:space="preserve">ISI MANUAL AWALNYA 19</t>
  </si>
  <si>
    <t xml:space="preserve">PHK</t>
  </si>
  <si>
    <t xml:space="preserve">PLA</t>
  </si>
  <si>
    <t xml:space="preserve">PNN</t>
  </si>
  <si>
    <t xml:space="preserve">PRA</t>
  </si>
  <si>
    <t xml:space="preserve">PRI</t>
  </si>
  <si>
    <t xml:space="preserve">PST</t>
  </si>
  <si>
    <t xml:space="preserve">PWE</t>
  </si>
  <si>
    <t xml:space="preserve">RAH</t>
  </si>
  <si>
    <t xml:space="preserve">RAT</t>
  </si>
  <si>
    <t xml:space="preserve">REN</t>
  </si>
  <si>
    <t xml:space="preserve">RET</t>
  </si>
  <si>
    <t xml:space="preserve">RUM</t>
  </si>
  <si>
    <t xml:space="preserve">SBR</t>
  </si>
  <si>
    <t xml:space="preserve">SLA</t>
  </si>
  <si>
    <t xml:space="preserve">SLE</t>
  </si>
  <si>
    <t xml:space="preserve">TBE</t>
  </si>
  <si>
    <t xml:space="preserve">TBI</t>
  </si>
  <si>
    <t xml:space="preserve">TFL</t>
  </si>
  <si>
    <t xml:space="preserve">TIT</t>
  </si>
  <si>
    <t xml:space="preserve">VEI</t>
  </si>
  <si>
    <t xml:space="preserve">VER</t>
  </si>
  <si>
    <t xml:space="preserve">KAA</t>
  </si>
  <si>
    <t xml:space="preserve">LBR</t>
  </si>
  <si>
    <t xml:space="preserve">NA1</t>
  </si>
  <si>
    <t xml:space="preserve">PBI</t>
  </si>
  <si>
    <t xml:space="preserve">PGL</t>
  </si>
  <si>
    <t xml:space="preserve">PSM</t>
  </si>
  <si>
    <t xml:space="preserve">THT</t>
  </si>
  <si>
    <t xml:space="preserve">YYU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</si>
</sst>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£-809]#,##0.00;[RED]\-[$£-809]#,##0.00"/>
    <numFmt numFmtId="166" formatCode="#,##0"/>
    <numFmt numFmtId="167" formatCode="dd/mm/yy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FreeSans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333333"/>
      <name val="Arial"/>
      <family val="0"/>
      <charset val="1"/>
    </font>
    <font>
      <sz val="10"/>
      <name val="Times New Roman"/>
      <family val="1"/>
      <charset val="1"/>
    </font>
    <font>
      <sz val="10"/>
      <name val="Liberation Mono;Cumberland AMT;Cumberland;Courier New;Cousine;Nimbus Mono L;DejaVu Sans Mono;Courier;Lucida Sans Typewriter;Lucida Typewriter;Monaco;Monospaced"/>
      <family val="3"/>
      <charset val="1"/>
    </font>
    <font>
      <sz val="10"/>
      <color rgb="FF333333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CC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  <dxfs count="5">
    <dxf>
      <fill>
        <patternFill patternType="solid">
          <fgColor rgb="00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99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true" showOutlineSymbols="true" defaultGridColor="true" view="pageBreakPreview" topLeftCell="A1" colorId="64" zoomScale="75" zoomScaleNormal="85" zoomScalePageLayoutView="75" workbookViewId="0">
      <selection pane="topLeft" activeCell="G11" activeCellId="0" sqref="G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n">
        <v>1</v>
      </c>
      <c r="B2" s="2" t="s">
        <v>5</v>
      </c>
      <c r="C2" s="2" t="s">
        <v>6</v>
      </c>
      <c r="D2" s="2" t="n">
        <v>52</v>
      </c>
      <c r="E2" s="2" t="n">
        <v>20</v>
      </c>
    </row>
    <row r="3" customFormat="false" ht="12.8" hidden="false" customHeight="false" outlineLevel="0" collapsed="false">
      <c r="A3" s="2" t="n">
        <v>2</v>
      </c>
      <c r="B3" s="2" t="s">
        <v>7</v>
      </c>
      <c r="C3" s="2" t="s">
        <v>8</v>
      </c>
      <c r="D3" s="2" t="n">
        <v>1200</v>
      </c>
      <c r="E3" s="2" t="n">
        <v>202</v>
      </c>
    </row>
    <row r="4" customFormat="false" ht="12.8" hidden="false" customHeight="false" outlineLevel="0" collapsed="false">
      <c r="A4" s="2" t="n">
        <v>3</v>
      </c>
      <c r="B4" s="2" t="s">
        <v>9</v>
      </c>
      <c r="C4" s="2" t="s">
        <v>10</v>
      </c>
      <c r="D4" s="2" t="n">
        <v>306.8</v>
      </c>
      <c r="E4" s="2" t="n">
        <v>105</v>
      </c>
    </row>
    <row r="5" customFormat="false" ht="12.8" hidden="false" customHeight="false" outlineLevel="0" collapsed="false">
      <c r="A5" s="2" t="n">
        <v>4</v>
      </c>
      <c r="B5" s="2" t="s">
        <v>11</v>
      </c>
      <c r="C5" s="2" t="s">
        <v>12</v>
      </c>
      <c r="D5" s="2" t="n">
        <v>633</v>
      </c>
      <c r="E5" s="2" t="n">
        <v>92</v>
      </c>
    </row>
    <row r="6" customFormat="false" ht="12.8" hidden="false" customHeight="false" outlineLevel="0" collapsed="false">
      <c r="A6" s="2" t="n">
        <v>5</v>
      </c>
      <c r="B6" s="2" t="s">
        <v>9</v>
      </c>
      <c r="C6" s="2" t="s">
        <v>13</v>
      </c>
      <c r="D6" s="2" t="n">
        <v>324</v>
      </c>
      <c r="E6" s="2" t="n">
        <v>80</v>
      </c>
    </row>
    <row r="7" customFormat="false" ht="12.8" hidden="false" customHeight="false" outlineLevel="0" collapsed="false">
      <c r="A7" s="2" t="n">
        <v>6</v>
      </c>
      <c r="B7" s="2" t="s">
        <v>9</v>
      </c>
      <c r="C7" s="2" t="s">
        <v>14</v>
      </c>
      <c r="D7" s="2" t="n">
        <v>324</v>
      </c>
      <c r="E7" s="2" t="n">
        <v>80</v>
      </c>
    </row>
    <row r="8" customFormat="false" ht="12.8" hidden="false" customHeight="false" outlineLevel="0" collapsed="false">
      <c r="A8" s="2" t="n">
        <v>7</v>
      </c>
      <c r="B8" s="2" t="s">
        <v>15</v>
      </c>
      <c r="C8" s="2" t="s">
        <v>16</v>
      </c>
      <c r="D8" s="2" t="n">
        <v>100</v>
      </c>
      <c r="E8" s="2" t="n">
        <v>29</v>
      </c>
    </row>
    <row r="9" customFormat="false" ht="12.8" hidden="false" customHeight="false" outlineLevel="0" collapsed="false">
      <c r="A9" s="2" t="n">
        <v>8</v>
      </c>
      <c r="B9" s="2" t="s">
        <v>15</v>
      </c>
      <c r="C9" s="2" t="s">
        <v>17</v>
      </c>
      <c r="D9" s="2" t="n">
        <v>100</v>
      </c>
      <c r="E9" s="2" t="n">
        <v>29</v>
      </c>
    </row>
    <row r="10" customFormat="false" ht="12.8" hidden="false" customHeight="false" outlineLevel="0" collapsed="false">
      <c r="A10" s="2" t="n">
        <v>9</v>
      </c>
      <c r="B10" s="2" t="s">
        <v>15</v>
      </c>
      <c r="C10" s="2" t="s">
        <v>18</v>
      </c>
      <c r="D10" s="2" t="n">
        <v>100</v>
      </c>
      <c r="E10" s="2" t="n">
        <v>29</v>
      </c>
    </row>
    <row r="11" customFormat="false" ht="12.8" hidden="false" customHeight="false" outlineLevel="0" collapsed="false">
      <c r="A11" s="2" t="n">
        <v>10</v>
      </c>
      <c r="B11" s="2" t="s">
        <v>15</v>
      </c>
      <c r="C11" s="2" t="s">
        <v>19</v>
      </c>
      <c r="D11" s="2" t="n">
        <v>100</v>
      </c>
      <c r="E11" s="2" t="n">
        <v>29</v>
      </c>
    </row>
    <row r="12" customFormat="false" ht="12.8" hidden="false" customHeight="false" outlineLevel="0" collapsed="false">
      <c r="A12" s="2" t="n">
        <v>11</v>
      </c>
      <c r="B12" s="2" t="s">
        <v>5</v>
      </c>
      <c r="C12" s="2" t="s">
        <v>20</v>
      </c>
      <c r="D12" s="2" t="n">
        <v>51</v>
      </c>
      <c r="E12" s="2" t="n">
        <v>29</v>
      </c>
    </row>
    <row r="13" customFormat="false" ht="12.8" hidden="false" customHeight="false" outlineLevel="0" collapsed="false">
      <c r="A13" s="2" t="n">
        <v>12</v>
      </c>
      <c r="B13" s="2" t="s">
        <v>5</v>
      </c>
      <c r="C13" s="2" t="s">
        <v>21</v>
      </c>
      <c r="D13" s="2" t="n">
        <v>80</v>
      </c>
      <c r="E13" s="2" t="n">
        <v>38</v>
      </c>
    </row>
    <row r="14" customFormat="false" ht="12.8" hidden="false" customHeight="false" outlineLevel="0" collapsed="false">
      <c r="A14" s="2" t="n">
        <v>13</v>
      </c>
      <c r="B14" s="2" t="s">
        <v>22</v>
      </c>
      <c r="C14" s="2" t="s">
        <v>23</v>
      </c>
      <c r="D14" s="2" t="n">
        <v>186</v>
      </c>
      <c r="E14" s="2" t="n">
        <v>121</v>
      </c>
    </row>
    <row r="15" customFormat="false" ht="12.8" hidden="false" customHeight="false" outlineLevel="0" collapsed="false">
      <c r="A15" s="2" t="n">
        <v>14</v>
      </c>
      <c r="B15" s="2" t="s">
        <v>22</v>
      </c>
      <c r="C15" s="2" t="s">
        <v>24</v>
      </c>
      <c r="D15" s="2" t="n">
        <v>186</v>
      </c>
      <c r="E15" s="2" t="n">
        <v>121</v>
      </c>
    </row>
    <row r="16" customFormat="false" ht="12.8" hidden="false" customHeight="false" outlineLevel="0" collapsed="false">
      <c r="A16" s="2" t="n">
        <v>15</v>
      </c>
      <c r="B16" s="2" t="s">
        <v>22</v>
      </c>
      <c r="C16" s="2" t="s">
        <v>25</v>
      </c>
      <c r="D16" s="2" t="n">
        <v>186</v>
      </c>
      <c r="E16" s="2" t="n">
        <v>121</v>
      </c>
    </row>
    <row r="17" customFormat="false" ht="12.8" hidden="false" customHeight="false" outlineLevel="0" collapsed="false">
      <c r="A17" s="2" t="n">
        <v>16</v>
      </c>
      <c r="B17" s="2" t="s">
        <v>22</v>
      </c>
      <c r="C17" s="2" t="s">
        <v>26</v>
      </c>
      <c r="D17" s="2" t="n">
        <v>186</v>
      </c>
      <c r="E17" s="2" t="n">
        <v>121</v>
      </c>
    </row>
    <row r="18" customFormat="false" ht="12.8" hidden="false" customHeight="false" outlineLevel="0" collapsed="false">
      <c r="A18" s="2" t="n">
        <v>17</v>
      </c>
      <c r="B18" s="2" t="s">
        <v>22</v>
      </c>
      <c r="C18" s="2" t="s">
        <v>27</v>
      </c>
      <c r="D18" s="2" t="n">
        <v>801</v>
      </c>
      <c r="E18" s="2" t="n">
        <v>121</v>
      </c>
    </row>
    <row r="19" customFormat="false" ht="12.8" hidden="false" customHeight="false" outlineLevel="0" collapsed="false">
      <c r="A19" s="2" t="n">
        <v>18</v>
      </c>
      <c r="B19" s="2" t="s">
        <v>28</v>
      </c>
      <c r="C19" s="2" t="s">
        <v>29</v>
      </c>
      <c r="D19" s="2" t="n">
        <v>1292</v>
      </c>
      <c r="E19" s="2" t="n">
        <v>148</v>
      </c>
    </row>
    <row r="20" customFormat="false" ht="12.8" hidden="false" customHeight="false" outlineLevel="0" collapsed="false">
      <c r="A20" s="2" t="n">
        <v>19</v>
      </c>
      <c r="B20" s="2" t="s">
        <v>30</v>
      </c>
      <c r="C20" s="2" t="s">
        <v>31</v>
      </c>
      <c r="D20" s="2" t="n">
        <v>844</v>
      </c>
      <c r="E20" s="2" t="n">
        <v>66</v>
      </c>
    </row>
    <row r="21" customFormat="false" ht="12.8" hidden="false" customHeight="false" outlineLevel="0" collapsed="false">
      <c r="A21" s="2" t="n">
        <v>20</v>
      </c>
      <c r="B21" s="2" t="s">
        <v>9</v>
      </c>
      <c r="C21" s="2" t="s">
        <v>32</v>
      </c>
      <c r="D21" s="2" t="n">
        <v>645</v>
      </c>
      <c r="E21" s="2" t="n">
        <v>156</v>
      </c>
    </row>
    <row r="22" customFormat="false" ht="12.8" hidden="false" customHeight="false" outlineLevel="0" collapsed="false">
      <c r="A22" s="2" t="n">
        <v>21</v>
      </c>
      <c r="B22" s="2" t="s">
        <v>33</v>
      </c>
      <c r="C22" s="2" t="s">
        <v>34</v>
      </c>
      <c r="D22" s="2" t="n">
        <v>400</v>
      </c>
      <c r="E22" s="2" t="n">
        <v>86</v>
      </c>
      <c r="F22" s="0" t="s">
        <v>35</v>
      </c>
    </row>
    <row r="23" customFormat="false" ht="12.8" hidden="false" customHeight="false" outlineLevel="0" collapsed="false">
      <c r="A23" s="2" t="n">
        <v>22</v>
      </c>
      <c r="B23" s="2" t="s">
        <v>7</v>
      </c>
      <c r="C23" s="2" t="s">
        <v>36</v>
      </c>
      <c r="D23" s="2" t="n">
        <v>570</v>
      </c>
      <c r="E23" s="2" t="n">
        <v>150</v>
      </c>
    </row>
    <row r="24" customFormat="false" ht="12.8" hidden="false" customHeight="false" outlineLevel="0" collapsed="false">
      <c r="A24" s="2" t="n">
        <v>23</v>
      </c>
      <c r="B24" s="2" t="s">
        <v>37</v>
      </c>
      <c r="C24" s="2" t="s">
        <v>38</v>
      </c>
      <c r="D24" s="2" t="n">
        <v>2041</v>
      </c>
    </row>
    <row r="25" customFormat="false" ht="12.8" hidden="false" customHeight="false" outlineLevel="0" collapsed="false">
      <c r="A25" s="2" t="n">
        <v>24</v>
      </c>
      <c r="B25" s="2" t="s">
        <v>5</v>
      </c>
      <c r="C25" s="2" t="s">
        <v>39</v>
      </c>
      <c r="D25" s="2" t="n">
        <v>124</v>
      </c>
      <c r="E25" s="2" t="n">
        <v>39</v>
      </c>
    </row>
    <row r="26" customFormat="false" ht="12.8" hidden="false" customHeight="false" outlineLevel="0" collapsed="false">
      <c r="A26" s="2" t="n">
        <v>25</v>
      </c>
      <c r="B26" s="2" t="s">
        <v>9</v>
      </c>
      <c r="C26" s="2" t="s">
        <v>40</v>
      </c>
      <c r="D26" s="2" t="s">
        <v>41</v>
      </c>
      <c r="E26" s="2" t="n">
        <v>122</v>
      </c>
    </row>
    <row r="27" customFormat="false" ht="12.8" hidden="false" customHeight="false" outlineLevel="0" collapsed="false">
      <c r="A27" s="2" t="n">
        <v>26</v>
      </c>
      <c r="B27" s="2" t="s">
        <v>37</v>
      </c>
      <c r="C27" s="2" t="s">
        <v>42</v>
      </c>
      <c r="D27" s="2" t="n">
        <v>1350</v>
      </c>
    </row>
    <row r="28" customFormat="false" ht="12.8" hidden="false" customHeight="false" outlineLevel="0" collapsed="false">
      <c r="A28" s="2" t="n">
        <v>27</v>
      </c>
      <c r="B28" s="2" t="s">
        <v>28</v>
      </c>
      <c r="C28" s="2" t="s">
        <v>43</v>
      </c>
      <c r="D28" s="2" t="n">
        <v>172</v>
      </c>
      <c r="E28" s="2" t="n">
        <v>38</v>
      </c>
    </row>
    <row r="29" customFormat="false" ht="12.8" hidden="false" customHeight="false" outlineLevel="0" collapsed="false">
      <c r="A29" s="2" t="n">
        <v>28</v>
      </c>
      <c r="B29" s="2" t="s">
        <v>37</v>
      </c>
      <c r="C29" s="2" t="s">
        <v>44</v>
      </c>
      <c r="D29" s="2" t="n">
        <v>1950</v>
      </c>
    </row>
    <row r="30" customFormat="false" ht="12.8" hidden="false" customHeight="false" outlineLevel="0" collapsed="false">
      <c r="A30" s="2" t="n">
        <v>29</v>
      </c>
      <c r="B30" s="2" t="s">
        <v>37</v>
      </c>
      <c r="C30" s="2" t="s">
        <v>45</v>
      </c>
      <c r="D30" s="2" t="n">
        <v>1450</v>
      </c>
    </row>
    <row r="31" customFormat="false" ht="12.8" hidden="false" customHeight="false" outlineLevel="0" collapsed="false">
      <c r="A31" s="2" t="n">
        <v>30</v>
      </c>
      <c r="B31" s="2" t="s">
        <v>37</v>
      </c>
      <c r="C31" s="2" t="s">
        <v>46</v>
      </c>
      <c r="D31" s="2" t="n">
        <v>1538</v>
      </c>
    </row>
    <row r="32" customFormat="false" ht="12.8" hidden="false" customHeight="false" outlineLevel="0" collapsed="false">
      <c r="A32" s="2" t="n">
        <v>31</v>
      </c>
      <c r="B32" s="2" t="s">
        <v>37</v>
      </c>
      <c r="C32" s="2" t="s">
        <v>47</v>
      </c>
      <c r="D32" s="2" t="n">
        <v>2041</v>
      </c>
    </row>
    <row r="33" customFormat="false" ht="12.8" hidden="false" customHeight="false" outlineLevel="0" collapsed="false">
      <c r="A33" s="2" t="n">
        <v>32</v>
      </c>
      <c r="B33" s="2" t="s">
        <v>37</v>
      </c>
      <c r="C33" s="2" t="s">
        <v>48</v>
      </c>
      <c r="D33" s="2" t="n">
        <v>2044</v>
      </c>
    </row>
    <row r="34" customFormat="false" ht="12.8" hidden="false" customHeight="false" outlineLevel="0" collapsed="false">
      <c r="A34" s="2" t="n">
        <v>33</v>
      </c>
      <c r="B34" s="2" t="s">
        <v>37</v>
      </c>
      <c r="C34" s="2" t="s">
        <v>49</v>
      </c>
      <c r="D34" s="2" t="n">
        <v>1750</v>
      </c>
    </row>
    <row r="35" customFormat="false" ht="12.8" hidden="false" customHeight="false" outlineLevel="0" collapsed="false">
      <c r="A35" s="2" t="n">
        <v>34</v>
      </c>
      <c r="B35" s="2" t="s">
        <v>37</v>
      </c>
      <c r="C35" s="2" t="s">
        <v>50</v>
      </c>
      <c r="D35" s="2" t="n">
        <v>1500</v>
      </c>
    </row>
    <row r="36" customFormat="false" ht="12.8" hidden="false" customHeight="false" outlineLevel="0" collapsed="false">
      <c r="A36" s="2" t="n">
        <v>35</v>
      </c>
      <c r="B36" s="2" t="s">
        <v>37</v>
      </c>
      <c r="C36" s="2" t="s">
        <v>51</v>
      </c>
      <c r="D36" s="2" t="n">
        <v>1500</v>
      </c>
    </row>
    <row r="37" customFormat="false" ht="12.8" hidden="false" customHeight="false" outlineLevel="0" collapsed="false">
      <c r="A37" s="2" t="n">
        <v>36</v>
      </c>
      <c r="B37" s="2" t="s">
        <v>37</v>
      </c>
      <c r="C37" s="2" t="s">
        <v>52</v>
      </c>
      <c r="D37" s="2" t="n">
        <v>1718</v>
      </c>
    </row>
    <row r="38" customFormat="false" ht="12.8" hidden="false" customHeight="false" outlineLevel="0" collapsed="false">
      <c r="A38" s="2" t="n">
        <v>37</v>
      </c>
      <c r="B38" s="2" t="s">
        <v>37</v>
      </c>
      <c r="C38" s="2" t="s">
        <v>53</v>
      </c>
      <c r="D38" s="2" t="n">
        <v>1300</v>
      </c>
    </row>
    <row r="39" customFormat="false" ht="12.8" hidden="false" customHeight="false" outlineLevel="0" collapsed="false">
      <c r="A39" s="2" t="n">
        <v>38</v>
      </c>
      <c r="B39" s="2" t="s">
        <v>11</v>
      </c>
      <c r="C39" s="2" t="s">
        <v>54</v>
      </c>
      <c r="D39" s="2" t="n">
        <v>2645</v>
      </c>
      <c r="E39" s="2" t="n">
        <v>168</v>
      </c>
    </row>
    <row r="40" customFormat="false" ht="12.8" hidden="false" customHeight="false" outlineLevel="0" collapsed="false">
      <c r="A40" s="2" t="n">
        <v>39</v>
      </c>
      <c r="B40" s="2" t="s">
        <v>9</v>
      </c>
      <c r="C40" s="2" t="s">
        <v>55</v>
      </c>
      <c r="D40" s="2" t="n">
        <v>1585.6</v>
      </c>
      <c r="E40" s="2" t="n">
        <v>170</v>
      </c>
    </row>
    <row r="41" customFormat="false" ht="12.8" hidden="false" customHeight="false" outlineLevel="0" collapsed="false">
      <c r="A41" s="2" t="n">
        <v>40</v>
      </c>
      <c r="B41" s="2" t="s">
        <v>7</v>
      </c>
      <c r="C41" s="2" t="s">
        <v>56</v>
      </c>
      <c r="D41" s="2" t="n">
        <v>2686</v>
      </c>
      <c r="E41" s="2" t="n">
        <v>131</v>
      </c>
    </row>
    <row r="42" customFormat="false" ht="12.8" hidden="false" customHeight="false" outlineLevel="0" collapsed="false">
      <c r="A42" s="2" t="n">
        <v>41</v>
      </c>
      <c r="B42" s="2" t="s">
        <v>28</v>
      </c>
      <c r="C42" s="2" t="s">
        <v>57</v>
      </c>
      <c r="D42" s="2" t="n">
        <v>852</v>
      </c>
      <c r="E42" s="2" t="n">
        <v>140</v>
      </c>
    </row>
    <row r="43" customFormat="false" ht="12.8" hidden="false" customHeight="false" outlineLevel="0" collapsed="false">
      <c r="A43" s="2" t="n">
        <v>42</v>
      </c>
      <c r="B43" s="2" t="s">
        <v>11</v>
      </c>
      <c r="C43" s="2" t="s">
        <v>58</v>
      </c>
      <c r="D43" s="2" t="n">
        <v>1816</v>
      </c>
      <c r="E43" s="2" t="n">
        <v>120</v>
      </c>
    </row>
    <row r="44" customFormat="false" ht="12.8" hidden="false" customHeight="false" outlineLevel="0" collapsed="false">
      <c r="A44" s="2" t="n">
        <v>43</v>
      </c>
      <c r="B44" s="2" t="s">
        <v>22</v>
      </c>
      <c r="C44" s="2" t="s">
        <v>59</v>
      </c>
      <c r="D44" s="2" t="n">
        <v>136</v>
      </c>
      <c r="E44" s="2" t="n">
        <v>44</v>
      </c>
    </row>
    <row r="45" customFormat="false" ht="12.8" hidden="false" customHeight="false" outlineLevel="0" collapsed="false">
      <c r="A45" s="2" t="n">
        <v>44</v>
      </c>
      <c r="B45" s="2" t="s">
        <v>11</v>
      </c>
      <c r="C45" s="2" t="s">
        <v>60</v>
      </c>
      <c r="D45" s="2" t="n">
        <v>1339</v>
      </c>
      <c r="E45" s="2" t="n">
        <v>120</v>
      </c>
    </row>
    <row r="46" customFormat="false" ht="12.8" hidden="false" customHeight="false" outlineLevel="0" collapsed="false">
      <c r="A46" s="2" t="n">
        <v>45</v>
      </c>
      <c r="B46" s="2" t="s">
        <v>11</v>
      </c>
      <c r="C46" s="2" t="s">
        <v>61</v>
      </c>
      <c r="D46" s="2" t="n">
        <v>136</v>
      </c>
      <c r="E46" s="2" t="n">
        <v>44</v>
      </c>
    </row>
    <row r="47" customFormat="false" ht="12.8" hidden="false" customHeight="false" outlineLevel="0" collapsed="false">
      <c r="A47" s="2" t="n">
        <v>46</v>
      </c>
      <c r="B47" s="2" t="s">
        <v>9</v>
      </c>
      <c r="C47" s="2" t="s">
        <v>62</v>
      </c>
      <c r="D47" s="2" t="n">
        <v>1600</v>
      </c>
      <c r="E47" s="2" t="n">
        <v>170</v>
      </c>
    </row>
    <row r="48" customFormat="false" ht="12.8" hidden="false" customHeight="false" outlineLevel="0" collapsed="false">
      <c r="A48" s="2" t="n">
        <v>47</v>
      </c>
      <c r="B48" s="2" t="s">
        <v>15</v>
      </c>
      <c r="C48" s="2" t="s">
        <v>63</v>
      </c>
      <c r="D48" s="2" t="n">
        <v>46</v>
      </c>
      <c r="E48" s="2" t="n">
        <v>39</v>
      </c>
    </row>
    <row r="49" customFormat="false" ht="12.8" hidden="false" customHeight="false" outlineLevel="0" collapsed="false">
      <c r="A49" s="2" t="n">
        <v>48</v>
      </c>
      <c r="B49" s="2" t="s">
        <v>7</v>
      </c>
      <c r="C49" s="2" t="s">
        <v>64</v>
      </c>
      <c r="D49" s="2" t="n">
        <v>0</v>
      </c>
      <c r="E49" s="2" t="n">
        <v>694</v>
      </c>
    </row>
    <row r="50" customFormat="false" ht="12.8" hidden="false" customHeight="false" outlineLevel="0" collapsed="false">
      <c r="A50" s="2" t="n">
        <v>49</v>
      </c>
      <c r="B50" s="2" t="s">
        <v>7</v>
      </c>
      <c r="C50" s="2" t="s">
        <v>65</v>
      </c>
      <c r="D50" s="2" t="n">
        <v>155</v>
      </c>
      <c r="E50" s="2" t="n">
        <v>38</v>
      </c>
      <c r="F50" s="0" t="s">
        <v>66</v>
      </c>
    </row>
    <row r="51" customFormat="false" ht="12.8" hidden="false" customHeight="false" outlineLevel="0" collapsed="false">
      <c r="A51" s="2" t="n">
        <v>50</v>
      </c>
      <c r="B51" s="2" t="s">
        <v>30</v>
      </c>
      <c r="C51" s="2" t="s">
        <v>67</v>
      </c>
      <c r="D51" s="2" t="n">
        <v>234</v>
      </c>
      <c r="E51" s="2" t="n">
        <v>39</v>
      </c>
    </row>
    <row r="52" customFormat="false" ht="12.8" hidden="false" customHeight="false" outlineLevel="0" collapsed="false">
      <c r="A52" s="2" t="n">
        <v>51</v>
      </c>
      <c r="B52" s="2" t="s">
        <v>30</v>
      </c>
      <c r="C52" s="2" t="s">
        <v>68</v>
      </c>
      <c r="D52" s="2" t="n">
        <v>236</v>
      </c>
      <c r="E52" s="2" t="n">
        <v>40</v>
      </c>
    </row>
    <row r="53" customFormat="false" ht="12.8" hidden="false" customHeight="false" outlineLevel="0" collapsed="false">
      <c r="A53" s="2" t="n">
        <v>52</v>
      </c>
      <c r="B53" s="2" t="s">
        <v>7</v>
      </c>
      <c r="C53" s="2" t="s">
        <v>69</v>
      </c>
      <c r="D53" s="2" t="n">
        <v>107</v>
      </c>
      <c r="E53" s="2" t="n">
        <v>38</v>
      </c>
    </row>
    <row r="54" customFormat="false" ht="12.8" hidden="false" customHeight="false" outlineLevel="0" collapsed="false">
      <c r="A54" s="2" t="n">
        <v>53</v>
      </c>
      <c r="B54" s="2" t="s">
        <v>15</v>
      </c>
      <c r="C54" s="2" t="s">
        <v>70</v>
      </c>
      <c r="D54" s="2" t="n">
        <v>92</v>
      </c>
      <c r="E54" s="2" t="n">
        <v>30</v>
      </c>
    </row>
    <row r="55" customFormat="false" ht="12.8" hidden="false" customHeight="false" outlineLevel="0" collapsed="false">
      <c r="A55" s="2" t="n">
        <v>54</v>
      </c>
      <c r="B55" s="2" t="s">
        <v>7</v>
      </c>
      <c r="C55" s="2" t="s">
        <v>71</v>
      </c>
      <c r="D55" s="2" t="n">
        <v>158</v>
      </c>
      <c r="E55" s="2" t="n">
        <v>33</v>
      </c>
    </row>
    <row r="56" customFormat="false" ht="12.8" hidden="false" customHeight="false" outlineLevel="0" collapsed="false">
      <c r="A56" s="2" t="n">
        <v>55</v>
      </c>
      <c r="B56" s="2" t="s">
        <v>15</v>
      </c>
      <c r="C56" s="2" t="s">
        <v>72</v>
      </c>
      <c r="D56" s="2" t="n">
        <v>56</v>
      </c>
      <c r="E56" s="2" t="n">
        <v>36</v>
      </c>
    </row>
    <row r="57" customFormat="false" ht="12.8" hidden="false" customHeight="false" outlineLevel="0" collapsed="false">
      <c r="A57" s="2" t="n">
        <v>56</v>
      </c>
      <c r="B57" s="2" t="s">
        <v>30</v>
      </c>
      <c r="C57" s="2" t="s">
        <v>73</v>
      </c>
      <c r="D57" s="2" t="n">
        <v>248</v>
      </c>
      <c r="E57" s="2" t="n">
        <v>32</v>
      </c>
    </row>
    <row r="58" customFormat="false" ht="12.8" hidden="false" customHeight="false" outlineLevel="0" collapsed="false">
      <c r="A58" s="2" t="n">
        <v>57</v>
      </c>
      <c r="B58" s="2" t="s">
        <v>33</v>
      </c>
      <c r="C58" s="2" t="s">
        <v>74</v>
      </c>
      <c r="D58" s="2" t="n">
        <v>305</v>
      </c>
      <c r="E58" s="2" t="n">
        <v>86</v>
      </c>
    </row>
    <row r="59" customFormat="false" ht="12.8" hidden="false" customHeight="false" outlineLevel="0" collapsed="false">
      <c r="A59" s="2" t="n">
        <v>58</v>
      </c>
      <c r="B59" s="2" t="s">
        <v>5</v>
      </c>
      <c r="C59" s="2" t="s">
        <v>75</v>
      </c>
      <c r="D59" s="2" t="n">
        <v>305</v>
      </c>
      <c r="E59" s="2" t="n">
        <v>86</v>
      </c>
    </row>
    <row r="60" customFormat="false" ht="12.8" hidden="false" customHeight="false" outlineLevel="0" collapsed="false">
      <c r="A60" s="2" t="n">
        <v>59</v>
      </c>
      <c r="B60" s="2" t="s">
        <v>5</v>
      </c>
      <c r="C60" s="2" t="s">
        <v>76</v>
      </c>
      <c r="D60" s="2" t="n">
        <v>305</v>
      </c>
      <c r="E60" s="2" t="n">
        <v>86</v>
      </c>
    </row>
    <row r="61" customFormat="false" ht="12.8" hidden="false" customHeight="false" outlineLevel="0" collapsed="false">
      <c r="A61" s="2" t="n">
        <v>60</v>
      </c>
      <c r="B61" s="2" t="s">
        <v>33</v>
      </c>
      <c r="C61" s="2" t="s">
        <v>77</v>
      </c>
      <c r="D61" s="2" t="n">
        <v>305</v>
      </c>
      <c r="E61" s="2" t="n">
        <v>86</v>
      </c>
    </row>
    <row r="62" customFormat="false" ht="12.8" hidden="false" customHeight="false" outlineLevel="0" collapsed="false">
      <c r="A62" s="2" t="n">
        <v>61</v>
      </c>
      <c r="B62" s="2" t="s">
        <v>5</v>
      </c>
      <c r="C62" s="2" t="s">
        <v>78</v>
      </c>
      <c r="D62" s="2" t="n">
        <v>305</v>
      </c>
      <c r="E62" s="2" t="n">
        <v>86</v>
      </c>
    </row>
    <row r="63" customFormat="false" ht="12.8" hidden="false" customHeight="false" outlineLevel="0" collapsed="false">
      <c r="A63" s="2" t="n">
        <v>62</v>
      </c>
      <c r="B63" s="2" t="s">
        <v>28</v>
      </c>
      <c r="C63" s="2" t="s">
        <v>79</v>
      </c>
      <c r="D63" s="2" t="n">
        <v>172</v>
      </c>
      <c r="E63" s="2" t="n">
        <v>38</v>
      </c>
    </row>
    <row r="64" customFormat="false" ht="12.8" hidden="false" customHeight="false" outlineLevel="0" collapsed="false">
      <c r="A64" s="2" t="n">
        <v>63</v>
      </c>
      <c r="B64" s="2" t="s">
        <v>33</v>
      </c>
      <c r="C64" s="2" t="s">
        <v>80</v>
      </c>
      <c r="D64" s="2" t="n">
        <v>517</v>
      </c>
      <c r="E64" s="2" t="n">
        <v>86</v>
      </c>
      <c r="F64" s="0" t="s">
        <v>35</v>
      </c>
    </row>
    <row r="65" customFormat="false" ht="12.8" hidden="false" customHeight="false" outlineLevel="0" collapsed="false">
      <c r="A65" s="2" t="n">
        <v>64</v>
      </c>
      <c r="B65" s="2" t="s">
        <v>33</v>
      </c>
      <c r="C65" s="2" t="s">
        <v>81</v>
      </c>
      <c r="D65" s="2" t="n">
        <v>400</v>
      </c>
      <c r="E65" s="2" t="n">
        <v>86</v>
      </c>
      <c r="F65" s="0" t="s">
        <v>35</v>
      </c>
    </row>
    <row r="66" customFormat="false" ht="12.8" hidden="false" customHeight="false" outlineLevel="0" collapsed="false">
      <c r="A66" s="2" t="n">
        <v>65</v>
      </c>
      <c r="B66" s="2" t="s">
        <v>30</v>
      </c>
      <c r="C66" s="2" t="s">
        <v>82</v>
      </c>
      <c r="D66" s="2" t="n">
        <v>50</v>
      </c>
      <c r="E66" s="2" t="n">
        <v>20</v>
      </c>
    </row>
    <row r="67" customFormat="false" ht="12.8" hidden="false" customHeight="false" outlineLevel="0" collapsed="false">
      <c r="A67" s="2" t="n">
        <v>66</v>
      </c>
      <c r="B67" s="2" t="s">
        <v>30</v>
      </c>
      <c r="C67" s="2" t="s">
        <v>83</v>
      </c>
      <c r="D67" s="2" t="n">
        <v>82</v>
      </c>
      <c r="E67" s="2" t="n">
        <v>38</v>
      </c>
    </row>
    <row r="68" customFormat="false" ht="12.8" hidden="false" customHeight="false" outlineLevel="0" collapsed="false">
      <c r="A68" s="2" t="n">
        <v>67</v>
      </c>
      <c r="B68" s="2" t="s">
        <v>30</v>
      </c>
      <c r="C68" s="2" t="s">
        <v>84</v>
      </c>
      <c r="D68" s="2" t="n">
        <v>78</v>
      </c>
      <c r="E68" s="2" t="n">
        <v>22</v>
      </c>
    </row>
    <row r="69" customFormat="false" ht="12.8" hidden="false" customHeight="false" outlineLevel="0" collapsed="false">
      <c r="A69" s="2" t="n">
        <v>68</v>
      </c>
      <c r="B69" s="2" t="s">
        <v>28</v>
      </c>
      <c r="C69" s="2" t="s">
        <v>85</v>
      </c>
      <c r="D69" s="2" t="n">
        <v>122</v>
      </c>
      <c r="E69" s="2" t="n">
        <v>51</v>
      </c>
    </row>
    <row r="70" customFormat="false" ht="12.8" hidden="false" customHeight="false" outlineLevel="0" collapsed="false">
      <c r="A70" s="2" t="n">
        <v>69</v>
      </c>
      <c r="B70" s="2" t="s">
        <v>11</v>
      </c>
      <c r="C70" s="2" t="s">
        <v>86</v>
      </c>
      <c r="D70" s="2" t="n">
        <v>616</v>
      </c>
      <c r="E70" s="2" t="n">
        <v>150</v>
      </c>
    </row>
    <row r="71" customFormat="false" ht="12.8" hidden="false" customHeight="false" outlineLevel="0" collapsed="false">
      <c r="A71" s="2" t="n">
        <v>70</v>
      </c>
      <c r="B71" s="2" t="s">
        <v>28</v>
      </c>
      <c r="C71" s="2" t="s">
        <v>87</v>
      </c>
      <c r="D71" s="2" t="n">
        <v>120</v>
      </c>
      <c r="E71" s="2" t="n">
        <v>55</v>
      </c>
    </row>
    <row r="72" customFormat="false" ht="12.8" hidden="false" customHeight="false" outlineLevel="0" collapsed="false">
      <c r="A72" s="2" t="n">
        <v>71</v>
      </c>
      <c r="B72" s="2"/>
      <c r="C72" s="2" t="s">
        <v>88</v>
      </c>
      <c r="D72" s="2" t="n">
        <v>78</v>
      </c>
      <c r="E72" s="2" t="n">
        <v>25</v>
      </c>
    </row>
    <row r="73" customFormat="false" ht="12.8" hidden="false" customHeight="false" outlineLevel="0" collapsed="false">
      <c r="A73" s="2" t="n">
        <f aca="false">A72+1</f>
        <v>72</v>
      </c>
      <c r="B73" s="2"/>
      <c r="C73" s="2" t="s">
        <v>89</v>
      </c>
      <c r="D73" s="2" t="s">
        <v>41</v>
      </c>
      <c r="E73" s="2" t="n">
        <v>106</v>
      </c>
    </row>
    <row r="74" customFormat="false" ht="12.8" hidden="false" customHeight="false" outlineLevel="0" collapsed="false">
      <c r="A74" s="2" t="n">
        <f aca="false">A73+1</f>
        <v>73</v>
      </c>
      <c r="B74" s="2"/>
      <c r="C74" s="2" t="s">
        <v>90</v>
      </c>
      <c r="D74" s="2" t="n">
        <v>199</v>
      </c>
      <c r="E74" s="2" t="n">
        <v>166</v>
      </c>
    </row>
    <row r="75" customFormat="false" ht="12.8" hidden="false" customHeight="false" outlineLevel="0" collapsed="false">
      <c r="A75" s="2" t="n">
        <f aca="false">A74+1</f>
        <v>74</v>
      </c>
      <c r="B75" s="2"/>
      <c r="C75" s="2" t="s">
        <v>91</v>
      </c>
      <c r="D75" s="2" t="n">
        <v>245</v>
      </c>
      <c r="E75" s="2" t="n">
        <v>113</v>
      </c>
    </row>
    <row r="76" customFormat="false" ht="12.8" hidden="false" customHeight="false" outlineLevel="0" collapsed="false">
      <c r="A76" s="2" t="n">
        <f aca="false">A75+1</f>
        <v>75</v>
      </c>
      <c r="B76" s="2"/>
      <c r="C76" s="2" t="s">
        <v>92</v>
      </c>
      <c r="D76" s="2" t="n">
        <v>139</v>
      </c>
      <c r="E76" s="2" t="n">
        <v>49</v>
      </c>
    </row>
    <row r="77" customFormat="false" ht="12.8" hidden="false" customHeight="false" outlineLevel="0" collapsed="false">
      <c r="A77" s="2" t="n">
        <f aca="false">A76+1</f>
        <v>76</v>
      </c>
      <c r="B77" s="2"/>
      <c r="C77" s="2" t="s">
        <v>93</v>
      </c>
      <c r="D77" s="2" t="s">
        <v>41</v>
      </c>
      <c r="E77" s="2" t="n">
        <v>588</v>
      </c>
    </row>
    <row r="78" customFormat="false" ht="12.8" hidden="false" customHeight="false" outlineLevel="0" collapsed="false">
      <c r="A78" s="2" t="n">
        <f aca="false">A77+1</f>
        <v>77</v>
      </c>
      <c r="B78" s="2"/>
      <c r="C78" s="2" t="s">
        <v>94</v>
      </c>
      <c r="D78" s="2" t="s">
        <v>41</v>
      </c>
      <c r="E78" s="2" t="n">
        <v>20</v>
      </c>
    </row>
    <row r="79" customFormat="false" ht="12.8" hidden="false" customHeight="false" outlineLevel="0" collapsed="false">
      <c r="A79" s="2" t="n">
        <f aca="false">A78+1</f>
        <v>78</v>
      </c>
      <c r="B79" s="2"/>
      <c r="C79" s="2" t="s">
        <v>95</v>
      </c>
      <c r="D79" s="2" t="s">
        <v>41</v>
      </c>
      <c r="E79" s="2" t="n">
        <v>32</v>
      </c>
    </row>
    <row r="80" customFormat="false" ht="12.8" hidden="false" customHeight="false" outlineLevel="0" collapsed="false">
      <c r="A80" s="2"/>
      <c r="B80" s="2"/>
      <c r="C80" s="2"/>
      <c r="D80" s="2"/>
      <c r="E80" s="2"/>
    </row>
    <row r="81" customFormat="false" ht="12.8" hidden="false" customHeight="false" outlineLevel="0" collapsed="false">
      <c r="A81" s="2"/>
      <c r="B81" s="2"/>
      <c r="C81" s="2"/>
      <c r="D81" s="2"/>
      <c r="E81" s="2"/>
    </row>
    <row r="82" customFormat="false" ht="12.8" hidden="false" customHeight="false" outlineLevel="0" collapsed="false">
      <c r="A82" s="2"/>
      <c r="B82" s="2"/>
      <c r="C82" s="2"/>
      <c r="D82" s="2"/>
      <c r="E82" s="2"/>
    </row>
  </sheetData>
  <autoFilter ref="A1:E79"/>
  <printOptions headings="false" gridLines="false" gridLinesSet="true" horizontalCentered="false" verticalCentered="false"/>
  <pageMargins left="0.7875" right="0.7875" top="1.025" bottom="1.025" header="0.7875" footer="0.7875"/>
  <pageSetup paperSize="9" scale="64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7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85" zoomScalePageLayoutView="75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8.45"/>
    <col collapsed="false" customWidth="true" hidden="false" outlineLevel="0" max="2" min="2" style="2" width="13.84"/>
    <col collapsed="false" customWidth="true" hidden="false" outlineLevel="0" max="5" min="3" style="2" width="16.14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false" outlineLevel="0" collapsed="false">
      <c r="A2" s="5" t="n">
        <v>1</v>
      </c>
      <c r="B2" s="6" t="s">
        <v>5</v>
      </c>
      <c r="C2" s="7" t="s">
        <v>6</v>
      </c>
      <c r="D2" s="5" t="n">
        <v>52</v>
      </c>
      <c r="E2" s="5" t="n">
        <v>20</v>
      </c>
    </row>
    <row r="3" customFormat="false" ht="15" hidden="false" customHeight="false" outlineLevel="0" collapsed="false">
      <c r="A3" s="5" t="n">
        <v>2</v>
      </c>
      <c r="B3" s="6" t="s">
        <v>7</v>
      </c>
      <c r="C3" s="7" t="s">
        <v>8</v>
      </c>
      <c r="D3" s="5" t="n">
        <v>1200</v>
      </c>
      <c r="E3" s="5" t="n">
        <v>202</v>
      </c>
    </row>
    <row r="4" customFormat="false" ht="15" hidden="false" customHeight="false" outlineLevel="0" collapsed="false">
      <c r="A4" s="5" t="n">
        <v>3</v>
      </c>
      <c r="B4" s="6" t="s">
        <v>9</v>
      </c>
      <c r="C4" s="8" t="s">
        <v>10</v>
      </c>
      <c r="D4" s="5" t="n">
        <f aca="false">76.7*4</f>
        <v>306.8</v>
      </c>
      <c r="E4" s="5" t="n">
        <f aca="false">57+48</f>
        <v>105</v>
      </c>
    </row>
    <row r="5" customFormat="false" ht="15" hidden="false" customHeight="false" outlineLevel="0" collapsed="false">
      <c r="A5" s="5" t="n">
        <v>4</v>
      </c>
      <c r="B5" s="6" t="s">
        <v>11</v>
      </c>
      <c r="C5" s="7" t="s">
        <v>12</v>
      </c>
      <c r="D5" s="5" t="n">
        <v>633</v>
      </c>
      <c r="E5" s="5" t="n">
        <v>92</v>
      </c>
    </row>
    <row r="6" customFormat="false" ht="15" hidden="false" customHeight="false" outlineLevel="0" collapsed="false">
      <c r="A6" s="5" t="n">
        <v>5</v>
      </c>
      <c r="B6" s="6" t="s">
        <v>9</v>
      </c>
      <c r="C6" s="7" t="s">
        <v>13</v>
      </c>
      <c r="D6" s="5" t="n">
        <v>324</v>
      </c>
      <c r="E6" s="5" t="n">
        <v>80</v>
      </c>
    </row>
    <row r="7" customFormat="false" ht="15" hidden="false" customHeight="false" outlineLevel="0" collapsed="false">
      <c r="A7" s="5" t="n">
        <v>6</v>
      </c>
      <c r="B7" s="6" t="s">
        <v>9</v>
      </c>
      <c r="C7" s="7" t="s">
        <v>14</v>
      </c>
      <c r="D7" s="5" t="n">
        <v>324</v>
      </c>
      <c r="E7" s="5" t="n">
        <v>80</v>
      </c>
    </row>
    <row r="8" customFormat="false" ht="15" hidden="false" customHeight="false" outlineLevel="0" collapsed="false">
      <c r="A8" s="5" t="n">
        <v>7</v>
      </c>
      <c r="B8" s="6" t="s">
        <v>15</v>
      </c>
      <c r="C8" s="7" t="s">
        <v>16</v>
      </c>
      <c r="D8" s="5" t="n">
        <v>100</v>
      </c>
      <c r="E8" s="5" t="n">
        <v>29</v>
      </c>
    </row>
    <row r="9" customFormat="false" ht="15" hidden="false" customHeight="false" outlineLevel="0" collapsed="false">
      <c r="A9" s="5" t="n">
        <v>8</v>
      </c>
      <c r="B9" s="6" t="s">
        <v>15</v>
      </c>
      <c r="C9" s="7" t="s">
        <v>17</v>
      </c>
      <c r="D9" s="5" t="n">
        <v>100</v>
      </c>
      <c r="E9" s="5" t="n">
        <v>29</v>
      </c>
    </row>
    <row r="10" customFormat="false" ht="15" hidden="false" customHeight="false" outlineLevel="0" collapsed="false">
      <c r="A10" s="5" t="n">
        <v>9</v>
      </c>
      <c r="B10" s="6" t="s">
        <v>15</v>
      </c>
      <c r="C10" s="7" t="s">
        <v>18</v>
      </c>
      <c r="D10" s="5" t="n">
        <v>100</v>
      </c>
      <c r="E10" s="5" t="n">
        <v>29</v>
      </c>
    </row>
    <row r="11" customFormat="false" ht="15" hidden="false" customHeight="false" outlineLevel="0" collapsed="false">
      <c r="A11" s="5" t="n">
        <v>10</v>
      </c>
      <c r="B11" s="6" t="s">
        <v>15</v>
      </c>
      <c r="C11" s="7" t="s">
        <v>19</v>
      </c>
      <c r="D11" s="5" t="n">
        <v>100</v>
      </c>
      <c r="E11" s="5" t="n">
        <v>29</v>
      </c>
    </row>
    <row r="12" customFormat="false" ht="15" hidden="false" customHeight="false" outlineLevel="0" collapsed="false">
      <c r="A12" s="5" t="n">
        <v>11</v>
      </c>
      <c r="B12" s="6" t="s">
        <v>5</v>
      </c>
      <c r="C12" s="7" t="s">
        <v>20</v>
      </c>
      <c r="D12" s="5" t="n">
        <v>51</v>
      </c>
      <c r="E12" s="5" t="n">
        <v>29</v>
      </c>
    </row>
    <row r="13" customFormat="false" ht="15" hidden="false" customHeight="false" outlineLevel="0" collapsed="false">
      <c r="A13" s="5" t="n">
        <v>12</v>
      </c>
      <c r="B13" s="6" t="s">
        <v>5</v>
      </c>
      <c r="C13" s="7" t="s">
        <v>21</v>
      </c>
      <c r="D13" s="5" t="n">
        <v>80</v>
      </c>
      <c r="E13" s="5" t="n">
        <v>38</v>
      </c>
    </row>
    <row r="14" customFormat="false" ht="15" hidden="false" customHeight="false" outlineLevel="0" collapsed="false">
      <c r="A14" s="5" t="n">
        <v>13</v>
      </c>
      <c r="B14" s="6" t="s">
        <v>22</v>
      </c>
      <c r="C14" s="7" t="s">
        <v>23</v>
      </c>
      <c r="D14" s="5" t="n">
        <v>186</v>
      </c>
      <c r="E14" s="5" t="n">
        <v>121</v>
      </c>
    </row>
    <row r="15" customFormat="false" ht="15" hidden="false" customHeight="false" outlineLevel="0" collapsed="false">
      <c r="A15" s="5" t="n">
        <v>14</v>
      </c>
      <c r="B15" s="6" t="s">
        <v>22</v>
      </c>
      <c r="C15" s="7" t="s">
        <v>24</v>
      </c>
      <c r="D15" s="5" t="n">
        <v>186</v>
      </c>
      <c r="E15" s="5" t="n">
        <v>121</v>
      </c>
    </row>
    <row r="16" customFormat="false" ht="15" hidden="false" customHeight="false" outlineLevel="0" collapsed="false">
      <c r="A16" s="5" t="n">
        <v>15</v>
      </c>
      <c r="B16" s="6" t="s">
        <v>22</v>
      </c>
      <c r="C16" s="7" t="s">
        <v>25</v>
      </c>
      <c r="D16" s="5" t="n">
        <v>186</v>
      </c>
      <c r="E16" s="5" t="n">
        <v>121</v>
      </c>
    </row>
    <row r="17" customFormat="false" ht="15" hidden="false" customHeight="false" outlineLevel="0" collapsed="false">
      <c r="A17" s="5" t="n">
        <v>16</v>
      </c>
      <c r="B17" s="6" t="s">
        <v>22</v>
      </c>
      <c r="C17" s="7" t="s">
        <v>26</v>
      </c>
      <c r="D17" s="5" t="n">
        <v>186</v>
      </c>
      <c r="E17" s="5" t="n">
        <v>121</v>
      </c>
    </row>
    <row r="18" customFormat="false" ht="15" hidden="false" customHeight="false" outlineLevel="0" collapsed="false">
      <c r="A18" s="5" t="n">
        <v>17</v>
      </c>
      <c r="B18" s="6" t="s">
        <v>22</v>
      </c>
      <c r="C18" s="7" t="s">
        <v>27</v>
      </c>
      <c r="D18" s="5" t="n">
        <v>801</v>
      </c>
      <c r="E18" s="5" t="n">
        <v>121</v>
      </c>
    </row>
    <row r="19" customFormat="false" ht="15" hidden="false" customHeight="false" outlineLevel="0" collapsed="false">
      <c r="A19" s="5" t="n">
        <v>18</v>
      </c>
      <c r="B19" s="6" t="s">
        <v>28</v>
      </c>
      <c r="C19" s="7" t="s">
        <v>29</v>
      </c>
      <c r="D19" s="5" t="n">
        <v>1292</v>
      </c>
      <c r="E19" s="5" t="n">
        <v>148</v>
      </c>
    </row>
    <row r="20" customFormat="false" ht="15" hidden="false" customHeight="false" outlineLevel="0" collapsed="false">
      <c r="A20" s="5" t="n">
        <v>19</v>
      </c>
      <c r="B20" s="6" t="s">
        <v>30</v>
      </c>
      <c r="C20" s="7" t="s">
        <v>31</v>
      </c>
      <c r="D20" s="5" t="n">
        <v>844</v>
      </c>
      <c r="E20" s="5" t="n">
        <v>66</v>
      </c>
    </row>
    <row r="21" customFormat="false" ht="15" hidden="false" customHeight="false" outlineLevel="0" collapsed="false">
      <c r="A21" s="5" t="n">
        <v>20</v>
      </c>
      <c r="B21" s="6" t="s">
        <v>9</v>
      </c>
      <c r="C21" s="7" t="s">
        <v>32</v>
      </c>
      <c r="D21" s="5" t="n">
        <f aca="false">(210*2)+225</f>
        <v>645</v>
      </c>
      <c r="E21" s="5" t="n">
        <f aca="false">78*2</f>
        <v>156</v>
      </c>
    </row>
    <row r="22" customFormat="false" ht="15" hidden="false" customHeight="false" outlineLevel="0" collapsed="false">
      <c r="A22" s="9" t="n">
        <v>21</v>
      </c>
      <c r="B22" s="10" t="s">
        <v>33</v>
      </c>
      <c r="C22" s="11" t="s">
        <v>34</v>
      </c>
      <c r="D22" s="9" t="n">
        <v>400</v>
      </c>
      <c r="E22" s="9" t="n">
        <v>86</v>
      </c>
      <c r="F22" s="0" t="s">
        <v>35</v>
      </c>
    </row>
    <row r="23" customFormat="false" ht="15" hidden="false" customHeight="false" outlineLevel="0" collapsed="false">
      <c r="A23" s="5" t="n">
        <v>22</v>
      </c>
      <c r="B23" s="6" t="s">
        <v>7</v>
      </c>
      <c r="C23" s="7" t="s">
        <v>36</v>
      </c>
      <c r="D23" s="5" t="n">
        <v>570</v>
      </c>
      <c r="E23" s="5" t="n">
        <v>150</v>
      </c>
    </row>
    <row r="24" customFormat="false" ht="15" hidden="false" customHeight="false" outlineLevel="0" collapsed="false">
      <c r="A24" s="12" t="n">
        <v>23</v>
      </c>
      <c r="B24" s="13" t="s">
        <v>37</v>
      </c>
      <c r="C24" s="14" t="s">
        <v>38</v>
      </c>
      <c r="D24" s="12" t="n">
        <v>2041</v>
      </c>
      <c r="E24" s="12"/>
    </row>
    <row r="25" customFormat="false" ht="15" hidden="false" customHeight="false" outlineLevel="0" collapsed="false">
      <c r="A25" s="5" t="n">
        <v>24</v>
      </c>
      <c r="B25" s="6" t="s">
        <v>5</v>
      </c>
      <c r="C25" s="7" t="s">
        <v>39</v>
      </c>
      <c r="D25" s="5" t="n">
        <v>124</v>
      </c>
      <c r="E25" s="5" t="n">
        <v>39</v>
      </c>
    </row>
    <row r="26" customFormat="false" ht="15" hidden="false" customHeight="false" outlineLevel="0" collapsed="false">
      <c r="A26" s="5" t="n">
        <v>25</v>
      </c>
      <c r="B26" s="6" t="s">
        <v>9</v>
      </c>
      <c r="C26" s="7" t="s">
        <v>40</v>
      </c>
      <c r="D26" s="5" t="s">
        <v>41</v>
      </c>
      <c r="E26" s="5" t="n">
        <v>122</v>
      </c>
    </row>
    <row r="27" customFormat="false" ht="15" hidden="false" customHeight="false" outlineLevel="0" collapsed="false">
      <c r="A27" s="5" t="n">
        <v>26</v>
      </c>
      <c r="B27" s="6" t="s">
        <v>37</v>
      </c>
      <c r="C27" s="7" t="s">
        <v>42</v>
      </c>
      <c r="D27" s="5" t="n">
        <v>1350</v>
      </c>
      <c r="E27" s="5"/>
    </row>
    <row r="28" customFormat="false" ht="15" hidden="false" customHeight="false" outlineLevel="0" collapsed="false">
      <c r="A28" s="5" t="n">
        <v>27</v>
      </c>
      <c r="B28" s="6" t="s">
        <v>28</v>
      </c>
      <c r="C28" s="7" t="s">
        <v>43</v>
      </c>
      <c r="D28" s="5" t="n">
        <v>172</v>
      </c>
      <c r="E28" s="5" t="n">
        <v>38</v>
      </c>
    </row>
    <row r="29" customFormat="false" ht="15" hidden="false" customHeight="false" outlineLevel="0" collapsed="false">
      <c r="A29" s="12" t="n">
        <v>28</v>
      </c>
      <c r="B29" s="13" t="s">
        <v>37</v>
      </c>
      <c r="C29" s="14" t="s">
        <v>44</v>
      </c>
      <c r="D29" s="12" t="n">
        <v>1950</v>
      </c>
      <c r="E29" s="12"/>
    </row>
    <row r="30" customFormat="false" ht="15" hidden="false" customHeight="false" outlineLevel="0" collapsed="false">
      <c r="A30" s="12" t="n">
        <v>29</v>
      </c>
      <c r="B30" s="13" t="s">
        <v>37</v>
      </c>
      <c r="C30" s="14" t="s">
        <v>45</v>
      </c>
      <c r="D30" s="12" t="n">
        <v>1450</v>
      </c>
      <c r="E30" s="12"/>
    </row>
    <row r="31" customFormat="false" ht="15" hidden="false" customHeight="false" outlineLevel="0" collapsed="false">
      <c r="A31" s="12" t="n">
        <v>30</v>
      </c>
      <c r="B31" s="13" t="s">
        <v>37</v>
      </c>
      <c r="C31" s="14" t="s">
        <v>46</v>
      </c>
      <c r="D31" s="12" t="n">
        <v>1538</v>
      </c>
      <c r="E31" s="12"/>
    </row>
    <row r="32" customFormat="false" ht="15" hidden="false" customHeight="false" outlineLevel="0" collapsed="false">
      <c r="A32" s="12" t="n">
        <v>31</v>
      </c>
      <c r="B32" s="13" t="s">
        <v>37</v>
      </c>
      <c r="C32" s="14" t="s">
        <v>47</v>
      </c>
      <c r="D32" s="12" t="n">
        <v>2041</v>
      </c>
      <c r="E32" s="12"/>
    </row>
    <row r="33" customFormat="false" ht="15" hidden="false" customHeight="false" outlineLevel="0" collapsed="false">
      <c r="A33" s="12" t="n">
        <v>32</v>
      </c>
      <c r="B33" s="13" t="s">
        <v>37</v>
      </c>
      <c r="C33" s="14" t="s">
        <v>48</v>
      </c>
      <c r="D33" s="12" t="n">
        <v>2044</v>
      </c>
      <c r="E33" s="12"/>
    </row>
    <row r="34" customFormat="false" ht="15" hidden="false" customHeight="false" outlineLevel="0" collapsed="false">
      <c r="A34" s="12" t="n">
        <v>33</v>
      </c>
      <c r="B34" s="13" t="s">
        <v>37</v>
      </c>
      <c r="C34" s="14" t="s">
        <v>49</v>
      </c>
      <c r="D34" s="12" t="n">
        <v>1750</v>
      </c>
      <c r="E34" s="12"/>
    </row>
    <row r="35" customFormat="false" ht="15" hidden="false" customHeight="false" outlineLevel="0" collapsed="false">
      <c r="A35" s="12" t="n">
        <v>34</v>
      </c>
      <c r="B35" s="13" t="s">
        <v>37</v>
      </c>
      <c r="C35" s="14" t="s">
        <v>50</v>
      </c>
      <c r="D35" s="12" t="n">
        <v>1500</v>
      </c>
      <c r="E35" s="12"/>
    </row>
    <row r="36" customFormat="false" ht="15" hidden="false" customHeight="false" outlineLevel="0" collapsed="false">
      <c r="A36" s="12" t="n">
        <v>35</v>
      </c>
      <c r="B36" s="13" t="s">
        <v>37</v>
      </c>
      <c r="C36" s="14" t="s">
        <v>51</v>
      </c>
      <c r="D36" s="12" t="n">
        <v>1500</v>
      </c>
      <c r="E36" s="12"/>
      <c r="F36" s="15"/>
    </row>
    <row r="37" customFormat="false" ht="15" hidden="false" customHeight="false" outlineLevel="0" collapsed="false">
      <c r="A37" s="12" t="n">
        <v>36</v>
      </c>
      <c r="B37" s="13" t="s">
        <v>37</v>
      </c>
      <c r="C37" s="14" t="s">
        <v>52</v>
      </c>
      <c r="D37" s="12" t="n">
        <v>1718</v>
      </c>
      <c r="E37" s="12"/>
    </row>
    <row r="38" customFormat="false" ht="15" hidden="false" customHeight="false" outlineLevel="0" collapsed="false">
      <c r="A38" s="12" t="n">
        <v>37</v>
      </c>
      <c r="B38" s="13" t="s">
        <v>37</v>
      </c>
      <c r="C38" s="14" t="s">
        <v>53</v>
      </c>
      <c r="D38" s="12" t="n">
        <v>1300</v>
      </c>
      <c r="E38" s="12"/>
    </row>
    <row r="39" customFormat="false" ht="15" hidden="false" customHeight="false" outlineLevel="0" collapsed="false">
      <c r="A39" s="5" t="n">
        <v>38</v>
      </c>
      <c r="B39" s="6" t="s">
        <v>11</v>
      </c>
      <c r="C39" s="7" t="s">
        <v>54</v>
      </c>
      <c r="D39" s="5" t="n">
        <v>2645</v>
      </c>
      <c r="E39" s="5" t="n">
        <v>168</v>
      </c>
    </row>
    <row r="40" customFormat="false" ht="15" hidden="false" customHeight="false" outlineLevel="0" collapsed="false">
      <c r="A40" s="5" t="n">
        <v>39</v>
      </c>
      <c r="B40" s="6" t="s">
        <v>9</v>
      </c>
      <c r="C40" s="7" t="s">
        <v>55</v>
      </c>
      <c r="D40" s="5" t="n">
        <f aca="false">(379.8*2)+(413*2)</f>
        <v>1585.6</v>
      </c>
      <c r="E40" s="5" t="n">
        <f aca="false">85*2</f>
        <v>170</v>
      </c>
    </row>
    <row r="41" customFormat="false" ht="15" hidden="false" customHeight="false" outlineLevel="0" collapsed="false">
      <c r="A41" s="5" t="n">
        <v>40</v>
      </c>
      <c r="B41" s="6" t="s">
        <v>7</v>
      </c>
      <c r="C41" s="7" t="s">
        <v>56</v>
      </c>
      <c r="D41" s="5" t="n">
        <v>2686</v>
      </c>
      <c r="E41" s="5" t="n">
        <v>131</v>
      </c>
    </row>
    <row r="42" customFormat="false" ht="15" hidden="false" customHeight="false" outlineLevel="0" collapsed="false">
      <c r="A42" s="5" t="n">
        <v>41</v>
      </c>
      <c r="B42" s="6" t="s">
        <v>28</v>
      </c>
      <c r="C42" s="7" t="s">
        <v>57</v>
      </c>
      <c r="D42" s="5" t="n">
        <f aca="false">(256*2)+(170*2)</f>
        <v>852</v>
      </c>
      <c r="E42" s="5" t="n">
        <v>140</v>
      </c>
    </row>
    <row r="43" customFormat="false" ht="15" hidden="false" customHeight="false" outlineLevel="0" collapsed="false">
      <c r="A43" s="5" t="n">
        <v>42</v>
      </c>
      <c r="B43" s="6" t="s">
        <v>11</v>
      </c>
      <c r="C43" s="7" t="s">
        <v>58</v>
      </c>
      <c r="D43" s="5" t="n">
        <v>1816</v>
      </c>
      <c r="E43" s="5" t="n">
        <v>120</v>
      </c>
    </row>
    <row r="44" customFormat="false" ht="15" hidden="false" customHeight="false" outlineLevel="0" collapsed="false">
      <c r="A44" s="5" t="n">
        <v>43</v>
      </c>
      <c r="B44" s="6" t="s">
        <v>22</v>
      </c>
      <c r="C44" s="7" t="s">
        <v>59</v>
      </c>
      <c r="D44" s="5" t="n">
        <v>136</v>
      </c>
      <c r="E44" s="5" t="n">
        <v>44</v>
      </c>
    </row>
    <row r="45" customFormat="false" ht="15" hidden="false" customHeight="false" outlineLevel="0" collapsed="false">
      <c r="A45" s="5" t="n">
        <v>44</v>
      </c>
      <c r="B45" s="6" t="s">
        <v>11</v>
      </c>
      <c r="C45" s="7" t="s">
        <v>60</v>
      </c>
      <c r="D45" s="5" t="n">
        <v>1339</v>
      </c>
      <c r="E45" s="5" t="n">
        <v>120</v>
      </c>
    </row>
    <row r="46" customFormat="false" ht="15" hidden="false" customHeight="false" outlineLevel="0" collapsed="false">
      <c r="A46" s="5" t="n">
        <v>45</v>
      </c>
      <c r="B46" s="6" t="s">
        <v>11</v>
      </c>
      <c r="C46" s="7" t="s">
        <v>61</v>
      </c>
      <c r="D46" s="5" t="n">
        <v>136</v>
      </c>
      <c r="E46" s="5" t="n">
        <v>44</v>
      </c>
    </row>
    <row r="47" customFormat="false" ht="15" hidden="false" customHeight="false" outlineLevel="0" collapsed="false">
      <c r="A47" s="5" t="n">
        <v>46</v>
      </c>
      <c r="B47" s="6" t="s">
        <v>9</v>
      </c>
      <c r="C47" s="7" t="s">
        <v>62</v>
      </c>
      <c r="D47" s="5" t="n">
        <v>1600</v>
      </c>
      <c r="E47" s="5" t="n">
        <v>170</v>
      </c>
    </row>
    <row r="48" customFormat="false" ht="15" hidden="false" customHeight="false" outlineLevel="0" collapsed="false">
      <c r="A48" s="5" t="n">
        <v>47</v>
      </c>
      <c r="B48" s="6" t="s">
        <v>15</v>
      </c>
      <c r="C48" s="7" t="s">
        <v>63</v>
      </c>
      <c r="D48" s="5" t="n">
        <v>46</v>
      </c>
      <c r="E48" s="5" t="n">
        <v>39</v>
      </c>
    </row>
    <row r="49" customFormat="false" ht="15" hidden="false" customHeight="false" outlineLevel="0" collapsed="false">
      <c r="A49" s="5" t="n">
        <v>48</v>
      </c>
      <c r="B49" s="6" t="s">
        <v>7</v>
      </c>
      <c r="C49" s="7" t="s">
        <v>64</v>
      </c>
      <c r="D49" s="5" t="n">
        <v>0</v>
      </c>
      <c r="E49" s="5" t="n">
        <f aca="false">(119*2)+(228*2)</f>
        <v>694</v>
      </c>
    </row>
    <row r="50" customFormat="false" ht="15" hidden="false" customHeight="false" outlineLevel="0" collapsed="false">
      <c r="A50" s="5" t="n">
        <v>49</v>
      </c>
      <c r="B50" s="6" t="s">
        <v>7</v>
      </c>
      <c r="C50" s="7" t="s">
        <v>65</v>
      </c>
      <c r="D50" s="5" t="n">
        <v>155</v>
      </c>
      <c r="E50" s="5" t="n">
        <v>19</v>
      </c>
    </row>
    <row r="51" customFormat="false" ht="15" hidden="false" customHeight="false" outlineLevel="0" collapsed="false">
      <c r="A51" s="5" t="n">
        <v>50</v>
      </c>
      <c r="B51" s="6" t="s">
        <v>30</v>
      </c>
      <c r="C51" s="7" t="s">
        <v>67</v>
      </c>
      <c r="D51" s="5" t="n">
        <v>234</v>
      </c>
      <c r="E51" s="5" t="n">
        <v>39</v>
      </c>
    </row>
    <row r="52" customFormat="false" ht="15" hidden="false" customHeight="false" outlineLevel="0" collapsed="false">
      <c r="A52" s="5" t="n">
        <v>51</v>
      </c>
      <c r="B52" s="6" t="s">
        <v>30</v>
      </c>
      <c r="C52" s="7" t="s">
        <v>68</v>
      </c>
      <c r="D52" s="5" t="n">
        <v>236</v>
      </c>
      <c r="E52" s="5" t="n">
        <v>40</v>
      </c>
    </row>
    <row r="53" customFormat="false" ht="15" hidden="false" customHeight="false" outlineLevel="0" collapsed="false">
      <c r="A53" s="5" t="n">
        <v>52</v>
      </c>
      <c r="B53" s="6" t="s">
        <v>7</v>
      </c>
      <c r="C53" s="7" t="s">
        <v>69</v>
      </c>
      <c r="D53" s="5" t="n">
        <v>107</v>
      </c>
      <c r="E53" s="5" t="n">
        <v>38</v>
      </c>
    </row>
    <row r="54" customFormat="false" ht="15" hidden="false" customHeight="false" outlineLevel="0" collapsed="false">
      <c r="A54" s="5" t="n">
        <v>53</v>
      </c>
      <c r="B54" s="6" t="s">
        <v>15</v>
      </c>
      <c r="C54" s="7" t="s">
        <v>70</v>
      </c>
      <c r="D54" s="5" t="n">
        <v>92</v>
      </c>
      <c r="E54" s="5" t="n">
        <v>30</v>
      </c>
    </row>
    <row r="55" customFormat="false" ht="15" hidden="false" customHeight="false" outlineLevel="0" collapsed="false">
      <c r="A55" s="5" t="n">
        <v>54</v>
      </c>
      <c r="B55" s="6" t="s">
        <v>7</v>
      </c>
      <c r="C55" s="7" t="s">
        <v>71</v>
      </c>
      <c r="D55" s="5" t="n">
        <v>158</v>
      </c>
      <c r="E55" s="5" t="n">
        <v>33</v>
      </c>
    </row>
    <row r="56" customFormat="false" ht="15" hidden="false" customHeight="false" outlineLevel="0" collapsed="false">
      <c r="A56" s="5" t="n">
        <v>55</v>
      </c>
      <c r="B56" s="6" t="s">
        <v>15</v>
      </c>
      <c r="C56" s="7" t="s">
        <v>72</v>
      </c>
      <c r="D56" s="5" t="n">
        <v>56</v>
      </c>
      <c r="E56" s="5" t="n">
        <v>36</v>
      </c>
    </row>
    <row r="57" customFormat="false" ht="15" hidden="false" customHeight="false" outlineLevel="0" collapsed="false">
      <c r="A57" s="5" t="n">
        <v>56</v>
      </c>
      <c r="B57" s="6" t="s">
        <v>30</v>
      </c>
      <c r="C57" s="7" t="s">
        <v>73</v>
      </c>
      <c r="D57" s="5" t="n">
        <v>248</v>
      </c>
      <c r="E57" s="5" t="n">
        <v>32</v>
      </c>
    </row>
    <row r="58" customFormat="false" ht="15" hidden="false" customHeight="false" outlineLevel="0" collapsed="false">
      <c r="A58" s="5" t="n">
        <v>57</v>
      </c>
      <c r="B58" s="6" t="s">
        <v>33</v>
      </c>
      <c r="C58" s="7" t="s">
        <v>74</v>
      </c>
      <c r="D58" s="5" t="n">
        <v>305</v>
      </c>
      <c r="E58" s="5" t="n">
        <v>86</v>
      </c>
    </row>
    <row r="59" customFormat="false" ht="15" hidden="false" customHeight="false" outlineLevel="0" collapsed="false">
      <c r="A59" s="5" t="n">
        <v>58</v>
      </c>
      <c r="B59" s="6" t="s">
        <v>5</v>
      </c>
      <c r="C59" s="7" t="s">
        <v>75</v>
      </c>
      <c r="D59" s="5" t="n">
        <v>305</v>
      </c>
      <c r="E59" s="5" t="n">
        <v>86</v>
      </c>
    </row>
    <row r="60" customFormat="false" ht="15" hidden="false" customHeight="false" outlineLevel="0" collapsed="false">
      <c r="A60" s="5" t="n">
        <v>59</v>
      </c>
      <c r="B60" s="6" t="s">
        <v>5</v>
      </c>
      <c r="C60" s="7" t="s">
        <v>76</v>
      </c>
      <c r="D60" s="5" t="n">
        <v>305</v>
      </c>
      <c r="E60" s="5" t="n">
        <v>86</v>
      </c>
    </row>
    <row r="61" customFormat="false" ht="15" hidden="false" customHeight="false" outlineLevel="0" collapsed="false">
      <c r="A61" s="5" t="n">
        <v>60</v>
      </c>
      <c r="B61" s="6" t="s">
        <v>33</v>
      </c>
      <c r="C61" s="7" t="s">
        <v>77</v>
      </c>
      <c r="D61" s="5" t="n">
        <v>305</v>
      </c>
      <c r="E61" s="5" t="n">
        <v>86</v>
      </c>
    </row>
    <row r="62" customFormat="false" ht="15" hidden="false" customHeight="false" outlineLevel="0" collapsed="false">
      <c r="A62" s="5" t="n">
        <v>61</v>
      </c>
      <c r="B62" s="6" t="s">
        <v>5</v>
      </c>
      <c r="C62" s="7" t="s">
        <v>78</v>
      </c>
      <c r="D62" s="5" t="n">
        <v>305</v>
      </c>
      <c r="E62" s="5" t="n">
        <v>86</v>
      </c>
    </row>
    <row r="63" customFormat="false" ht="15" hidden="false" customHeight="false" outlineLevel="0" collapsed="false">
      <c r="A63" s="5" t="n">
        <v>62</v>
      </c>
      <c r="B63" s="6" t="s">
        <v>28</v>
      </c>
      <c r="C63" s="7" t="s">
        <v>79</v>
      </c>
      <c r="D63" s="5" t="n">
        <v>172</v>
      </c>
      <c r="E63" s="5" t="n">
        <v>38</v>
      </c>
    </row>
    <row r="64" customFormat="false" ht="15" hidden="false" customHeight="false" outlineLevel="0" collapsed="false">
      <c r="A64" s="9" t="n">
        <v>63</v>
      </c>
      <c r="B64" s="10" t="s">
        <v>33</v>
      </c>
      <c r="C64" s="11" t="s">
        <v>80</v>
      </c>
      <c r="D64" s="9" t="n">
        <v>517</v>
      </c>
      <c r="E64" s="9" t="n">
        <v>86</v>
      </c>
      <c r="F64" s="0" t="s">
        <v>35</v>
      </c>
    </row>
    <row r="65" customFormat="false" ht="15" hidden="false" customHeight="false" outlineLevel="0" collapsed="false">
      <c r="A65" s="9" t="n">
        <v>64</v>
      </c>
      <c r="B65" s="10" t="s">
        <v>33</v>
      </c>
      <c r="C65" s="11" t="s">
        <v>81</v>
      </c>
      <c r="D65" s="9" t="n">
        <v>400</v>
      </c>
      <c r="E65" s="9" t="n">
        <v>86</v>
      </c>
      <c r="F65" s="0" t="s">
        <v>35</v>
      </c>
    </row>
    <row r="66" customFormat="false" ht="15" hidden="false" customHeight="false" outlineLevel="0" collapsed="false">
      <c r="A66" s="5" t="n">
        <v>65</v>
      </c>
      <c r="B66" s="6" t="s">
        <v>30</v>
      </c>
      <c r="C66" s="7" t="s">
        <v>82</v>
      </c>
      <c r="D66" s="5" t="n">
        <v>50</v>
      </c>
      <c r="E66" s="5" t="n">
        <v>20</v>
      </c>
      <c r="F66" s="15" t="n">
        <v>160</v>
      </c>
      <c r="G66" s="15" t="n">
        <v>35</v>
      </c>
    </row>
    <row r="67" customFormat="false" ht="15" hidden="false" customHeight="false" outlineLevel="0" collapsed="false">
      <c r="A67" s="5" t="n">
        <v>66</v>
      </c>
      <c r="B67" s="6" t="s">
        <v>30</v>
      </c>
      <c r="C67" s="7" t="s">
        <v>83</v>
      </c>
      <c r="D67" s="5" t="n">
        <v>82</v>
      </c>
      <c r="E67" s="5" t="n">
        <v>38</v>
      </c>
    </row>
    <row r="68" customFormat="false" ht="15" hidden="false" customHeight="false" outlineLevel="0" collapsed="false">
      <c r="A68" s="5" t="n">
        <v>67</v>
      </c>
      <c r="B68" s="6" t="s">
        <v>30</v>
      </c>
      <c r="C68" s="7" t="s">
        <v>84</v>
      </c>
      <c r="D68" s="5" t="n">
        <v>78</v>
      </c>
      <c r="E68" s="5" t="n">
        <v>22</v>
      </c>
    </row>
    <row r="69" customFormat="false" ht="15" hidden="false" customHeight="false" outlineLevel="0" collapsed="false">
      <c r="A69" s="5" t="n">
        <v>68</v>
      </c>
      <c r="B69" s="6" t="s">
        <v>28</v>
      </c>
      <c r="C69" s="7" t="s">
        <v>85</v>
      </c>
      <c r="D69" s="5" t="n">
        <v>122</v>
      </c>
      <c r="E69" s="5" t="n">
        <v>51</v>
      </c>
    </row>
    <row r="70" customFormat="false" ht="15" hidden="false" customHeight="false" outlineLevel="0" collapsed="false">
      <c r="A70" s="5" t="n">
        <v>69</v>
      </c>
      <c r="B70" s="6" t="s">
        <v>11</v>
      </c>
      <c r="C70" s="7" t="s">
        <v>86</v>
      </c>
      <c r="D70" s="5" t="n">
        <v>616</v>
      </c>
      <c r="E70" s="5" t="n">
        <v>150</v>
      </c>
    </row>
    <row r="71" customFormat="false" ht="15" hidden="false" customHeight="false" outlineLevel="0" collapsed="false">
      <c r="A71" s="5" t="n">
        <v>70</v>
      </c>
      <c r="B71" s="6" t="s">
        <v>28</v>
      </c>
      <c r="C71" s="7" t="s">
        <v>87</v>
      </c>
      <c r="D71" s="5" t="n">
        <v>120</v>
      </c>
      <c r="E71" s="5" t="n">
        <v>55</v>
      </c>
    </row>
    <row r="74" customFormat="false" ht="12.8" hidden="false" customHeight="false" outlineLevel="0" collapsed="false">
      <c r="E74" s="16"/>
      <c r="F74" s="17"/>
      <c r="G74" s="18"/>
    </row>
    <row r="75" customFormat="false" ht="12.8" hidden="false" customHeight="false" outlineLevel="0" collapsed="false">
      <c r="B75" s="19"/>
      <c r="C75" s="20"/>
      <c r="E75" s="21"/>
      <c r="F75" s="17"/>
      <c r="G75" s="21"/>
      <c r="H75" s="21"/>
      <c r="I75" s="21"/>
      <c r="J75" s="21"/>
      <c r="K75" s="22"/>
      <c r="L75" s="22"/>
      <c r="M75" s="16"/>
      <c r="N75" s="17"/>
      <c r="O75" s="18"/>
    </row>
    <row r="76" customFormat="false" ht="12.8" hidden="false" customHeight="false" outlineLevel="0" collapsed="false">
      <c r="B76" s="23"/>
      <c r="C76" s="20"/>
      <c r="E76" s="21"/>
      <c r="F76" s="17"/>
      <c r="G76" s="21"/>
      <c r="H76" s="21"/>
      <c r="I76" s="21"/>
      <c r="J76" s="21"/>
      <c r="K76" s="22"/>
      <c r="L76" s="22"/>
      <c r="M76" s="16"/>
      <c r="N76" s="17"/>
      <c r="O76" s="18"/>
    </row>
    <row r="77" customFormat="false" ht="12.8" hidden="false" customHeight="false" outlineLevel="0" collapsed="false">
      <c r="E77" s="21"/>
      <c r="F77" s="17"/>
      <c r="G77" s="21"/>
      <c r="H77" s="21"/>
      <c r="I77" s="21"/>
      <c r="J77" s="21"/>
      <c r="K77" s="22"/>
      <c r="L77" s="22"/>
      <c r="M77" s="16"/>
      <c r="N77" s="17"/>
      <c r="O77" s="18"/>
    </row>
    <row r="78" customFormat="false" ht="12.8" hidden="false" customHeight="false" outlineLevel="0" collapsed="false">
      <c r="E78" s="21"/>
      <c r="F78" s="17"/>
      <c r="G78" s="21"/>
      <c r="H78" s="21"/>
      <c r="I78" s="21"/>
      <c r="J78" s="21"/>
      <c r="K78" s="22"/>
      <c r="L78" s="22"/>
      <c r="M78" s="16"/>
      <c r="N78" s="17"/>
      <c r="O78" s="18"/>
    </row>
    <row r="79" customFormat="false" ht="12.8" hidden="false" customHeight="false" outlineLevel="0" collapsed="false">
      <c r="E79" s="21"/>
      <c r="F79" s="17"/>
      <c r="G79" s="21"/>
      <c r="H79" s="21"/>
      <c r="I79" s="21"/>
      <c r="J79" s="21"/>
      <c r="K79" s="22"/>
      <c r="L79" s="22"/>
      <c r="M79" s="16"/>
      <c r="N79" s="17"/>
      <c r="O79" s="18"/>
    </row>
    <row r="80" customFormat="false" ht="12.8" hidden="false" customHeight="false" outlineLevel="0" collapsed="false">
      <c r="E80" s="21"/>
      <c r="F80" s="17"/>
      <c r="G80" s="21"/>
      <c r="H80" s="21"/>
      <c r="I80" s="21"/>
      <c r="J80" s="21"/>
      <c r="K80" s="22"/>
      <c r="L80" s="22"/>
      <c r="M80" s="16"/>
      <c r="N80" s="17"/>
      <c r="O80" s="18"/>
    </row>
    <row r="81" customFormat="false" ht="12.8" hidden="false" customHeight="false" outlineLevel="0" collapsed="false">
      <c r="E81" s="21"/>
      <c r="F81" s="17"/>
      <c r="G81" s="21"/>
      <c r="H81" s="21"/>
      <c r="I81" s="21"/>
      <c r="J81" s="21"/>
      <c r="K81" s="22"/>
      <c r="L81" s="22"/>
      <c r="M81" s="16"/>
      <c r="N81" s="17"/>
      <c r="O81" s="18"/>
    </row>
    <row r="82" customFormat="false" ht="12.8" hidden="false" customHeight="false" outlineLevel="0" collapsed="false">
      <c r="E82" s="21"/>
      <c r="F82" s="17"/>
      <c r="G82" s="21"/>
      <c r="H82" s="21"/>
      <c r="I82" s="21"/>
      <c r="J82" s="21"/>
      <c r="K82" s="22"/>
      <c r="L82" s="22"/>
      <c r="M82" s="16"/>
      <c r="N82" s="24"/>
    </row>
    <row r="84" customFormat="false" ht="12.8" hidden="false" customHeight="false" outlineLevel="0" collapsed="false">
      <c r="J84" s="16"/>
      <c r="K84" s="17"/>
      <c r="L84" s="18"/>
      <c r="M84" s="16"/>
    </row>
    <row r="85" customFormat="false" ht="12.8" hidden="false" customHeight="false" outlineLevel="0" collapsed="false">
      <c r="E85" s="21"/>
      <c r="F85" s="17"/>
      <c r="G85" s="21"/>
      <c r="H85" s="21"/>
      <c r="I85" s="21"/>
      <c r="J85" s="21"/>
      <c r="K85" s="22"/>
      <c r="L85" s="22"/>
      <c r="M85" s="16"/>
      <c r="N85" s="17"/>
      <c r="O85" s="18"/>
      <c r="P85" s="22"/>
      <c r="Q85" s="22"/>
      <c r="S85" s="17"/>
      <c r="T85" s="18"/>
    </row>
    <row r="86" customFormat="false" ht="12.8" hidden="false" customHeight="false" outlineLevel="0" collapsed="false">
      <c r="E86" s="21"/>
      <c r="F86" s="17"/>
      <c r="G86" s="21"/>
      <c r="H86" s="21"/>
      <c r="I86" s="21"/>
      <c r="J86" s="21"/>
      <c r="K86" s="22"/>
      <c r="L86" s="22"/>
      <c r="M86" s="16"/>
      <c r="N86" s="17"/>
      <c r="O86" s="18"/>
      <c r="P86" s="22"/>
      <c r="Q86" s="22"/>
      <c r="S86" s="24"/>
    </row>
    <row r="87" customFormat="false" ht="12.8" hidden="false" customHeight="false" outlineLevel="0" collapsed="false">
      <c r="E87" s="21"/>
      <c r="F87" s="17"/>
      <c r="G87" s="21"/>
      <c r="H87" s="21"/>
      <c r="I87" s="21"/>
      <c r="J87" s="21"/>
      <c r="K87" s="22"/>
      <c r="L87" s="22"/>
      <c r="M87" s="16"/>
      <c r="N87" s="17"/>
      <c r="O87" s="18"/>
    </row>
  </sheetData>
  <autoFilter ref="A1:E71"/>
  <printOptions headings="false" gridLines="false" gridLinesSet="true" horizontalCentered="false" verticalCentered="false"/>
  <pageMargins left="0.7875" right="0.7875" top="1.025" bottom="1.025" header="0.7875" footer="0.7875"/>
  <pageSetup paperSize="9" scale="64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</TotalTime>
  <Application>LibreOffice/7.5.1.2$Linux_X86_64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2020-05-12T08:52:16Z</dcterms:created>
  <dc:creator>Fauzan Rachmadya P</dc:creator>
  <dc:description/>
  <dc:language>en-GB</dc:language>
  <cp:lastModifiedBy/>
  <cp:lastPrinted>2022-05-31T17:29:17Z</cp:lastPrinted>
  <dcterms:modified xsi:type="dcterms:W3CDTF">2026-09-07T17:50:11Z</dcterms:modified>
  <cp:revision>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